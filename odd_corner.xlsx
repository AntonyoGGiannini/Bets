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venuesec-my.sharepoint.com/personal/antonyo_giannini_avenue_us/Documents/"/>
    </mc:Choice>
  </mc:AlternateContent>
  <xr:revisionPtr revIDLastSave="0" documentId="8_{7D07CF86-E2B5-453D-81FB-FA7FA8DB8952}" xr6:coauthVersionLast="47" xr6:coauthVersionMax="47" xr10:uidLastSave="{00000000-0000-0000-0000-000000000000}"/>
  <bookViews>
    <workbookView xWindow="-23148" yWindow="-108" windowWidth="23256" windowHeight="12576" activeTab="1" xr2:uid="{C1AC4A3F-B3F7-46BE-B7EE-438A020E025D}"/>
  </bookViews>
  <sheets>
    <sheet name="10.5" sheetId="1" r:id="rId1"/>
    <sheet name="9.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9" i="2" l="1"/>
  <c r="D21" i="2"/>
  <c r="E17" i="2"/>
  <c r="E21" i="2"/>
  <c r="F22" i="1"/>
  <c r="F21" i="1"/>
  <c r="E21" i="1"/>
  <c r="E19" i="1"/>
  <c r="E15" i="1"/>
  <c r="E17" i="1"/>
  <c r="E7" i="1"/>
  <c r="E13" i="1"/>
  <c r="E3" i="1"/>
  <c r="D21" i="1"/>
  <c r="F21" i="2" l="1"/>
  <c r="F22" i="2" s="1"/>
</calcChain>
</file>

<file path=xl/sharedStrings.xml><?xml version="1.0" encoding="utf-8"?>
<sst xmlns="http://schemas.openxmlformats.org/spreadsheetml/2006/main" count="40" uniqueCount="9">
  <si>
    <t>[{'value': 'Over 10.5', 'odd': '2.00'}, {'value': 'Under 10.5', 'odd': '1.72'}]</t>
  </si>
  <si>
    <t>[{'value': 'Over 10.5', 'odd': '1.83'}, {'value': 'Under 10.5', 'odd': '1.83'}]</t>
  </si>
  <si>
    <t>[{'value': 'Over 10.5', 'odd': '1.90'}, {'value': 'Under 10.5', 'odd': '1.80'}]</t>
  </si>
  <si>
    <t>[{'value': 'Over 9.5', 'odd': '1.72'}, {'value': 'Under 9.5', 'odd': '2.00'}, {'value': 'Over 10.5', 'odd': '2.00'}, {'value': 'Under 10.5', 'odd': '1.72'}, {'value': 'Over 10', 'odd': '1.85'}, {'value': 'Under 10', 'odd': '1.95'}]</t>
  </si>
  <si>
    <t>[{'value': 'Over 9.5', 'odd': '1.72'}, {'value': 'Under 9.5', 'odd': '2.00'}, {'value': 'Over 10.5', 'odd': '2.00'}, {'value': 'Under 10.5', 'odd': '1.72'}, {'value': 'Over 10', 'odd': '1.95'}, {'value': 'Under 10', 'odd': '1.85'}]</t>
  </si>
  <si>
    <t>[{'value': 'Over 10.5', 'odd': '2.00'}, {'value': 'Under 10.5', 'odd': '1.72'}, {'value': 'Over 10', 'odd': '1.83'}, {'value': 'Under 10', 'odd': '1.98'}]</t>
  </si>
  <si>
    <t>[{'value': 'Over 9.5', 'odd': '1.72'}, {'value': 'Under 9.5', 'odd': '2.00'}, {'value': 'Over 10', 'odd': '2.00'}, {'value': 'Under 10', 'odd': '1.80'}]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</si>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</sst>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64" fontId="0" fillId="0" borderId="0" xfId="1" applyNumberFormat="1" applyFont="1" applyAlignment="1">
      <alignment horizontal="center"/>
    </xf>
    <xf numFmtId="0" fontId="0" fillId="0" borderId="0" xfId="0" applyFill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BC339-B906-4D3D-BBDA-97ACAF4B69FF}">
  <dimension ref="A1:G22"/>
  <sheetViews>
    <sheetView workbookViewId="0">
      <selection activeCell="C25" sqref="C25"/>
    </sheetView>
  </sheetViews>
  <sheetFormatPr defaultRowHeight="15" x14ac:dyDescent="0.25"/>
  <cols>
    <col min="1" max="1" width="9.140625" style="1"/>
    <col min="2" max="2" width="9.140625" style="1" customWidth="1"/>
    <col min="3" max="5" width="9.140625" style="1"/>
    <col min="6" max="6" width="9.140625" style="2"/>
    <col min="7" max="7" width="9.140625" style="1"/>
  </cols>
  <sheetData>
    <row r="1" spans="1:6" x14ac:dyDescent="0.25">
      <c r="A1" s="1">
        <v>838241</v>
      </c>
      <c r="B1" s="4">
        <v>12</v>
      </c>
      <c r="C1" s="4" t="s">
        <v>7</v>
      </c>
      <c r="D1" s="1">
        <v>-5</v>
      </c>
      <c r="E1" s="1">
        <v>0</v>
      </c>
      <c r="F1" s="2" t="s">
        <v>0</v>
      </c>
    </row>
    <row r="3" spans="1:6" x14ac:dyDescent="0.25">
      <c r="A3" s="1">
        <v>838244</v>
      </c>
      <c r="B3" s="3">
        <v>17</v>
      </c>
      <c r="C3" s="3" t="s">
        <v>8</v>
      </c>
      <c r="D3" s="1">
        <v>-5</v>
      </c>
      <c r="E3" s="1">
        <f>-D3*1.83</f>
        <v>9.15</v>
      </c>
      <c r="F3" s="2" t="s">
        <v>1</v>
      </c>
    </row>
    <row r="5" spans="1:6" x14ac:dyDescent="0.25">
      <c r="A5" s="1">
        <v>838247</v>
      </c>
      <c r="B5" s="4">
        <v>8</v>
      </c>
      <c r="C5" s="4" t="s">
        <v>8</v>
      </c>
      <c r="D5" s="1">
        <v>-5</v>
      </c>
      <c r="E5" s="1">
        <v>0</v>
      </c>
      <c r="F5" s="2" t="s">
        <v>2</v>
      </c>
    </row>
    <row r="7" spans="1:6" x14ac:dyDescent="0.25">
      <c r="A7" s="1">
        <v>838246</v>
      </c>
      <c r="B7" s="3">
        <v>7</v>
      </c>
      <c r="C7" s="3" t="s">
        <v>7</v>
      </c>
      <c r="D7" s="1">
        <v>-5</v>
      </c>
      <c r="E7" s="1">
        <f>-D7*1.72</f>
        <v>8.6</v>
      </c>
      <c r="F7" s="2" t="s">
        <v>3</v>
      </c>
    </row>
    <row r="9" spans="1:6" x14ac:dyDescent="0.25">
      <c r="A9" s="1">
        <v>838242</v>
      </c>
      <c r="B9" s="4">
        <v>11</v>
      </c>
      <c r="C9" s="4" t="s">
        <v>7</v>
      </c>
      <c r="D9" s="1">
        <v>-5</v>
      </c>
      <c r="E9" s="1">
        <v>0</v>
      </c>
      <c r="F9" s="2" t="s">
        <v>4</v>
      </c>
    </row>
    <row r="11" spans="1:6" x14ac:dyDescent="0.25">
      <c r="A11" s="1">
        <v>838245</v>
      </c>
      <c r="B11" s="4">
        <v>17</v>
      </c>
      <c r="C11" s="4" t="s">
        <v>7</v>
      </c>
      <c r="D11" s="1">
        <v>-5</v>
      </c>
      <c r="E11" s="1">
        <v>0</v>
      </c>
      <c r="F11" s="2" t="s">
        <v>5</v>
      </c>
    </row>
    <row r="13" spans="1:6" x14ac:dyDescent="0.25">
      <c r="A13" s="1">
        <v>838249</v>
      </c>
      <c r="B13" s="3">
        <v>9</v>
      </c>
      <c r="C13" s="3" t="s">
        <v>7</v>
      </c>
      <c r="D13" s="1">
        <v>-5</v>
      </c>
      <c r="E13" s="1">
        <f>-D13*1.83</f>
        <v>9.15</v>
      </c>
      <c r="F13" s="2" t="s">
        <v>1</v>
      </c>
    </row>
    <row r="15" spans="1:6" x14ac:dyDescent="0.25">
      <c r="A15" s="1">
        <v>838250</v>
      </c>
      <c r="B15" s="3">
        <v>15</v>
      </c>
      <c r="C15" s="3" t="s">
        <v>8</v>
      </c>
      <c r="D15" s="1">
        <v>-5</v>
      </c>
      <c r="E15" s="1">
        <f>-D15*1.83</f>
        <v>9.15</v>
      </c>
      <c r="F15" s="2" t="s">
        <v>1</v>
      </c>
    </row>
    <row r="17" spans="1:6" x14ac:dyDescent="0.25">
      <c r="A17" s="1">
        <v>838243</v>
      </c>
      <c r="B17" s="3">
        <v>10</v>
      </c>
      <c r="C17" s="3" t="s">
        <v>7</v>
      </c>
      <c r="D17" s="1">
        <v>-5</v>
      </c>
      <c r="E17" s="1">
        <f>-D17*1.72</f>
        <v>8.6</v>
      </c>
      <c r="F17" s="2" t="s">
        <v>6</v>
      </c>
    </row>
    <row r="19" spans="1:6" x14ac:dyDescent="0.25">
      <c r="A19" s="1">
        <v>838248</v>
      </c>
      <c r="B19" s="3">
        <v>13</v>
      </c>
      <c r="C19" s="3" t="s">
        <v>8</v>
      </c>
      <c r="D19" s="1">
        <v>-5</v>
      </c>
      <c r="E19" s="1">
        <f>-D19*1.9</f>
        <v>9.5</v>
      </c>
      <c r="F19" s="2" t="s">
        <v>2</v>
      </c>
    </row>
    <row r="21" spans="1:6" x14ac:dyDescent="0.25">
      <c r="D21" s="1">
        <f>SUM(D1:D19)</f>
        <v>-50</v>
      </c>
      <c r="E21" s="1">
        <f>SUM(E1:E19)</f>
        <v>54.15</v>
      </c>
      <c r="F21" s="1">
        <f>E21+D21</f>
        <v>4.1499999999999986</v>
      </c>
    </row>
    <row r="22" spans="1:6" x14ac:dyDescent="0.25">
      <c r="F22" s="5">
        <f>F21/-D21</f>
        <v>8.2999999999999977E-2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07038-D55C-40FE-B3DD-ABFF1CEFA09A}">
  <dimension ref="A1:G22"/>
  <sheetViews>
    <sheetView tabSelected="1" workbookViewId="0">
      <selection activeCell="F22" sqref="F22"/>
    </sheetView>
  </sheetViews>
  <sheetFormatPr defaultRowHeight="15" x14ac:dyDescent="0.25"/>
  <cols>
    <col min="1" max="1" width="9.140625" style="1"/>
    <col min="2" max="2" width="9.140625" style="6" customWidth="1"/>
    <col min="3" max="3" width="9.140625" style="6"/>
    <col min="4" max="5" width="9.140625" style="1"/>
    <col min="6" max="6" width="9.140625" style="2"/>
    <col min="7" max="7" width="9.140625" style="1"/>
  </cols>
  <sheetData>
    <row r="1" spans="1:6" x14ac:dyDescent="0.25">
      <c r="A1" s="1">
        <v>838241</v>
      </c>
      <c r="B1" s="3">
        <v>12</v>
      </c>
      <c r="C1" s="3" t="s">
        <v>8</v>
      </c>
      <c r="F1" s="2" t="s">
        <v>0</v>
      </c>
    </row>
    <row r="3" spans="1:6" x14ac:dyDescent="0.25">
      <c r="A3" s="1">
        <v>838244</v>
      </c>
      <c r="B3" s="3">
        <v>17</v>
      </c>
      <c r="C3" s="3" t="s">
        <v>8</v>
      </c>
      <c r="F3" s="2" t="s">
        <v>1</v>
      </c>
    </row>
    <row r="5" spans="1:6" x14ac:dyDescent="0.25">
      <c r="A5" s="1">
        <v>838247</v>
      </c>
      <c r="B5" s="4">
        <v>8</v>
      </c>
      <c r="C5" s="4" t="s">
        <v>8</v>
      </c>
      <c r="F5" s="2" t="s">
        <v>2</v>
      </c>
    </row>
    <row r="7" spans="1:6" x14ac:dyDescent="0.25">
      <c r="A7" s="1">
        <v>838246</v>
      </c>
      <c r="B7" s="4">
        <v>7</v>
      </c>
      <c r="C7" s="4" t="s">
        <v>8</v>
      </c>
      <c r="D7" s="1">
        <v>-5</v>
      </c>
      <c r="E7" s="1">
        <v>0</v>
      </c>
      <c r="F7" s="2" t="s">
        <v>3</v>
      </c>
    </row>
    <row r="9" spans="1:6" x14ac:dyDescent="0.25">
      <c r="A9" s="1">
        <v>838242</v>
      </c>
      <c r="B9" s="3">
        <v>11</v>
      </c>
      <c r="C9" s="3" t="s">
        <v>8</v>
      </c>
      <c r="D9" s="1">
        <v>-5</v>
      </c>
      <c r="E9" s="1">
        <f>-D9*1.72</f>
        <v>8.6</v>
      </c>
      <c r="F9" s="2" t="s">
        <v>4</v>
      </c>
    </row>
    <row r="11" spans="1:6" x14ac:dyDescent="0.25">
      <c r="A11" s="1">
        <v>838245</v>
      </c>
      <c r="B11" s="3">
        <v>17</v>
      </c>
      <c r="C11" s="3" t="s">
        <v>8</v>
      </c>
      <c r="F11" s="2" t="s">
        <v>5</v>
      </c>
    </row>
    <row r="13" spans="1:6" x14ac:dyDescent="0.25">
      <c r="A13" s="1">
        <v>838249</v>
      </c>
      <c r="B13" s="4">
        <v>9</v>
      </c>
      <c r="C13" s="4" t="s">
        <v>8</v>
      </c>
      <c r="F13" s="2" t="s">
        <v>1</v>
      </c>
    </row>
    <row r="15" spans="1:6" x14ac:dyDescent="0.25">
      <c r="A15" s="1">
        <v>838250</v>
      </c>
      <c r="B15" s="3">
        <v>15</v>
      </c>
      <c r="C15" s="3" t="s">
        <v>8</v>
      </c>
      <c r="F15" s="2" t="s">
        <v>1</v>
      </c>
    </row>
    <row r="17" spans="1:6" x14ac:dyDescent="0.25">
      <c r="A17" s="1">
        <v>838243</v>
      </c>
      <c r="B17" s="3">
        <v>10</v>
      </c>
      <c r="C17" s="3" t="s">
        <v>8</v>
      </c>
      <c r="D17" s="1">
        <v>-5</v>
      </c>
      <c r="E17" s="1">
        <f>-D17*1.72</f>
        <v>8.6</v>
      </c>
      <c r="F17" s="2" t="s">
        <v>6</v>
      </c>
    </row>
    <row r="19" spans="1:6" x14ac:dyDescent="0.25">
      <c r="A19" s="1">
        <v>838248</v>
      </c>
      <c r="B19" s="3">
        <v>13</v>
      </c>
      <c r="C19" s="3" t="s">
        <v>8</v>
      </c>
      <c r="F19" s="2" t="s">
        <v>2</v>
      </c>
    </row>
    <row r="21" spans="1:6" x14ac:dyDescent="0.25">
      <c r="D21" s="1">
        <f>SUM(D1:D19)</f>
        <v>-15</v>
      </c>
      <c r="E21" s="1">
        <f>SUM(E1:E19)</f>
        <v>17.2</v>
      </c>
      <c r="F21" s="1">
        <f>E21+D21</f>
        <v>2.1999999999999993</v>
      </c>
    </row>
    <row r="22" spans="1:6" x14ac:dyDescent="0.25">
      <c r="F22" s="5">
        <f>F21/-D21</f>
        <v>0.14666666666666661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10.5</vt:lpstr>
      <vt:lpstr>9.5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Antonyo Giannini</dc:creator>
  <cp:lastModifiedBy>Antonyo Giannini</cp:lastModifiedBy>
  <dcterms:created xsi:type="dcterms:W3CDTF">2022-09-13T03:41:54Z</dcterms:created>
  <dcterms:modified xsi:type="dcterms:W3CDTF">2022-09-13T03:51:57Z</dcterms:modified>
</cp:coreProperties>
</file>